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ronograma" sheetId="1" state="visible" r:id="rId3"/>
    <sheet name="PERT" sheetId="2" state="visible" r:id="rId4"/>
    <sheet name="Risco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<sst xmlns="http://schemas.openxmlformats.org/spreadsheetml/2006/main" count="215" uniqueCount="168">
  <si>
    <t xml:space="preserve">PP_2026_001_FORENSIA  |  Início: 05/02/2026  |  Término: 05/11/2026  |  Equipe: 3 Estudantes  |  Versão 1.1</t>
  </si>
  <si>
    <t xml:space="preserve">SEQ</t>
  </si>
  <si>
    <t xml:space="preserve">FASE / ATIVIDADE</t>
  </si>
  <si>
    <t xml:space="preserve">DESCRIÇÃO RESUMIDA</t>
  </si>
  <si>
    <t xml:space="preserve">ESTIMADO (h)</t>
  </si>
  <si>
    <t xml:space="preserve">REALIZADO (h)</t>
  </si>
  <si>
    <t xml:space="preserve">DATA INÍCIO</t>
  </si>
  <si>
    <t xml:space="preserve">DATA TÉRMINO</t>
  </si>
  <si>
    <t xml:space="preserve">RECURSO</t>
  </si>
  <si>
    <t xml:space="preserve">CUSTO EST. (R$)</t>
  </si>
  <si>
    <t xml:space="preserve">STATUS</t>
  </si>
  <si>
    <t xml:space="preserve">1. INICIAÇÃO</t>
  </si>
  <si>
    <t xml:space="preserve">Kick-off do Projeto</t>
  </si>
  <si>
    <t xml:space="preserve">Reunião inicial, alinhamento de escopo e papéis</t>
  </si>
  <si>
    <t xml:space="preserve">E1,E2,E3</t>
  </si>
  <si>
    <t xml:space="preserve">[ x ]</t>
  </si>
  <si>
    <t xml:space="preserve">Status</t>
  </si>
  <si>
    <t xml:space="preserve">Cores Represativas</t>
  </si>
  <si>
    <t xml:space="preserve">Identificação de Stakeholders</t>
  </si>
  <si>
    <t xml:space="preserve">Mapeamento de partes interessadas e seus interesses</t>
  </si>
  <si>
    <t xml:space="preserve">E1</t>
  </si>
  <si>
    <t xml:space="preserve">Finalizado</t>
  </si>
  <si>
    <t xml:space="preserve">2. PLANEJAMENTO</t>
  </si>
  <si>
    <t xml:space="preserve">Dentro do prazo</t>
  </si>
  <si>
    <t xml:space="preserve">[ ]</t>
  </si>
  <si>
    <t xml:space="preserve">Definição de Escopo</t>
  </si>
  <si>
    <t xml:space="preserve">Levantamento e documentação do escopo detalhado</t>
  </si>
  <si>
    <t xml:space="preserve">Atrasado</t>
  </si>
  <si>
    <t xml:space="preserve">[ ! ]</t>
  </si>
  <si>
    <t xml:space="preserve">Plano de Riscos</t>
  </si>
  <si>
    <t xml:space="preserve">Identificação, análise e respostas aos riscos</t>
  </si>
  <si>
    <t xml:space="preserve">Fora do prazo</t>
  </si>
  <si>
    <t xml:space="preserve">[ !!! ]</t>
  </si>
  <si>
    <t xml:space="preserve">Plano de Comunicação</t>
  </si>
  <si>
    <t xml:space="preserve">Canais, frequência e responsáveis pela comunicação</t>
  </si>
  <si>
    <t xml:space="preserve">3. LEVANTAMENTO DE REQUISITOS</t>
  </si>
  <si>
    <t xml:space="preserve">Elicitação de Requisitos</t>
  </si>
  <si>
    <t xml:space="preserve">Entrevistas e análise de domínio</t>
  </si>
  <si>
    <t xml:space="preserve">E1,E3</t>
  </si>
  <si>
    <t xml:space="preserve">Documentação SRS (IEEE 830)</t>
  </si>
  <si>
    <t xml:space="preserve">Especificação de requisitos funcionais e não funcionais</t>
  </si>
  <si>
    <t xml:space="preserve">E3</t>
  </si>
  <si>
    <t xml:space="preserve">Marco 1</t>
  </si>
  <si>
    <t xml:space="preserve">Regras de Sistema (RS)</t>
  </si>
  <si>
    <t xml:space="preserve">Detalhamento das regras por funcionalidade</t>
  </si>
  <si>
    <t xml:space="preserve">4. ARQUITETURA E DESIGN</t>
  </si>
  <si>
    <t xml:space="preserve">Modelagem de Dados</t>
  </si>
  <si>
    <t xml:space="preserve">Diagrama ER e modelo relacional PostgreSQL</t>
  </si>
  <si>
    <t xml:space="preserve">[X]</t>
  </si>
  <si>
    <t xml:space="preserve">Design da API REST</t>
  </si>
  <si>
    <t xml:space="preserve">Endpoints, JWT, OpenAPI 3.0 (SpringDoc/Spring Boot)</t>
  </si>
  <si>
    <t xml:space="preserve">Protótipo de Interface</t>
  </si>
  <si>
    <t xml:space="preserve">Wireframes da interface Web ou Desktop</t>
  </si>
  <si>
    <t xml:space="preserve">Marco 2</t>
  </si>
  <si>
    <t xml:space="preserve">5. DESENVOLVIMENTO</t>
  </si>
  <si>
    <t xml:space="preserve">Motor de Detecção — Texto</t>
  </si>
  <si>
    <t xml:space="preserve">FastAPI + HuggingFace roberta-base-openai-detector; fallback heurístico estatístico</t>
  </si>
  <si>
    <t xml:space="preserve">E2</t>
  </si>
  <si>
    <t xml:space="preserve">Motor de Detecção — Áudio</t>
  </si>
  <si>
    <t xml:space="preserve">PyTorch + librosa; extração MFCC e classificação</t>
  </si>
  <si>
    <t xml:space="preserve">Motor de Detecção — Imagem</t>
  </si>
  <si>
    <t xml:space="preserve">PyTorch + torchvision (ResNet-50); análise de imagens</t>
  </si>
  <si>
    <t xml:space="preserve">Motor de Detecção — Vídeo</t>
  </si>
  <si>
    <t xml:space="preserve">OpenCV + PyTorch; análise de frames e áudio do vídeo</t>
  </si>
  <si>
    <t xml:space="preserve">API RESTful (Spring Boot)</t>
  </si>
  <si>
    <t xml:space="preserve">Endpoints Java, JWT, Redis cache, integração Python — Auth + Analysis implementados</t>
  </si>
  <si>
    <t xml:space="preserve">Interface do Usuário</t>
  </si>
  <si>
    <t xml:space="preserve">Frontend Web ou Desktop (a definir) + integração API</t>
  </si>
  <si>
    <t xml:space="preserve">Marco 3</t>
  </si>
  <si>
    <t xml:space="preserve">6. TESTES E QA</t>
  </si>
  <si>
    <t xml:space="preserve">Testes Unitários</t>
  </si>
  <si>
    <t xml:space="preserve">JUnit 5 (Java) e pytest (Python) — unidades individuais</t>
  </si>
  <si>
    <t xml:space="preserve">E1,E2</t>
  </si>
  <si>
    <t xml:space="preserve">Testes de Integração</t>
  </si>
  <si>
    <t xml:space="preserve">REST Assured e Postman — comunicação entre módulos</t>
  </si>
  <si>
    <t xml:space="preserve">Testes de Sistema</t>
  </si>
  <si>
    <t xml:space="preserve">Selenium WebDriver / Cypress — sistema completo</t>
  </si>
  <si>
    <t xml:space="preserve">Testes do Modelo (ML)</t>
  </si>
  <si>
    <t xml:space="preserve">pytest + HuggingFace Evaluate — métricas de acurácia</t>
  </si>
  <si>
    <t xml:space="preserve">Testes de Desempenho</t>
  </si>
  <si>
    <t xml:space="preserve">Apache JMeter — latência e escalabilidade da API</t>
  </si>
  <si>
    <t xml:space="preserve">Testes de Segurança</t>
  </si>
  <si>
    <t xml:space="preserve">OWASP ZAP — OWASP Top 10, conformidade LGPD</t>
  </si>
  <si>
    <t xml:space="preserve">Marco 4</t>
  </si>
  <si>
    <t xml:space="preserve">7. IMPLANTAÇÃO</t>
  </si>
  <si>
    <t xml:space="preserve">Configuração de Ambiente</t>
  </si>
  <si>
    <t xml:space="preserve">Docker Compose, pipeline CI/CD GitHub Actions</t>
  </si>
  <si>
    <t xml:space="preserve">Deploy em Produção</t>
  </si>
  <si>
    <t xml:space="preserve">Blue-Green Deployment; rollback automático</t>
  </si>
  <si>
    <t xml:space="preserve">Marco 5</t>
  </si>
  <si>
    <t xml:space="preserve">Treinamento de Usuários</t>
  </si>
  <si>
    <t xml:space="preserve">Capacitação dos usuários finais e administradores</t>
  </si>
  <si>
    <t xml:space="preserve">8. DOCUMENTAÇÃO E ENCERRAMENTO</t>
  </si>
  <si>
    <t xml:space="preserve">Manual do Usuário</t>
  </si>
  <si>
    <t xml:space="preserve">Documentação completa para usuários finais</t>
  </si>
  <si>
    <t xml:space="preserve">Documentação Técnica Final</t>
  </si>
  <si>
    <t xml:space="preserve">Revisão e entrega da documentação técnica completa</t>
  </si>
  <si>
    <t xml:space="preserve">Lições Aprendidas</t>
  </si>
  <si>
    <t xml:space="preserve">Sessão estruturada e registro das lições aprendidas</t>
  </si>
  <si>
    <t xml:space="preserve">Marco 6</t>
  </si>
  <si>
    <t xml:space="preserve">TOTAL DE HORAS ESTIMADAS</t>
  </si>
  <si>
    <t xml:space="preserve">LEGENDA:  E1 = Estudante 1 — Líder / Backend Java (Spring Boot)   |   E2 = Estudante 2 — Motor IA / Python (FastAPI + HuggingFace + PyTorch)   |   E3 = Estudante 3 — Interface / Testes / Documentação</t>
  </si>
  <si>
    <t xml:space="preserve">STACK:  Backend → Java 21 + Spring Boot 3.3.5 + PostgreSQL 15 + Redis 7   |   Motor IA → Python 3.11 + FastAPI + HuggingFace + PyTorch + librosa + OpenCV   |   CI/CD → Docker + GitHub Actions</t>
  </si>
  <si>
    <t xml:space="preserve">ANÁLISE PERT — FORENSIA</t>
  </si>
  <si>
    <t xml:space="preserve">Estimativa de Duração por Fases Críticas do Projeto</t>
  </si>
  <si>
    <t xml:space="preserve">MELHOR CENÁRIO (O)</t>
  </si>
  <si>
    <t xml:space="preserve">PIOR CENÁRIO (P)</t>
  </si>
  <si>
    <t xml:space="preserve">MAIS PROVÁVEL (M)</t>
  </si>
  <si>
    <t xml:space="preserve">PERT (h)</t>
  </si>
  <si>
    <t xml:space="preserve">Motor de Detecção — Texto (semanas)</t>
  </si>
  <si>
    <t xml:space="preserve">Motor de Detecção — Áudio (semanas)</t>
  </si>
  <si>
    <t xml:space="preserve">Motor de Detecção — Imagem (semanas)</t>
  </si>
  <si>
    <t xml:space="preserve">Motor de Detecção — Vídeo (semanas)</t>
  </si>
  <si>
    <t xml:space="preserve">API RESTful Java — Spring Boot (semanas)</t>
  </si>
  <si>
    <t xml:space="preserve">Interface do Usuário (semanas)</t>
  </si>
  <si>
    <t xml:space="preserve">Testes e QA (semanas)</t>
  </si>
  <si>
    <t xml:space="preserve">Implantação e Deploy (semanas)</t>
  </si>
  <si>
    <t xml:space="preserve">DURAÇÃO TOTAL ESTIMADA (PERT)</t>
  </si>
  <si>
    <t xml:space="preserve">semanas (total projeto)</t>
  </si>
  <si>
    <t xml:space="preserve">Fórmula PERT: (O + 4M + P) / 6   |   O = Otimista   |   M = Mais Provável   |   P = Pessimista</t>
  </si>
  <si>
    <t xml:space="preserve">REGISTRO DE RISCOS — FORENSIA</t>
  </si>
  <si>
    <t xml:space="preserve">ID</t>
  </si>
  <si>
    <t xml:space="preserve">DESCRIÇÃO DO RISCO</t>
  </si>
  <si>
    <t xml:space="preserve">CATEGORIA</t>
  </si>
  <si>
    <t xml:space="preserve">TIPO</t>
  </si>
  <si>
    <t xml:space="preserve">I (1-5)</t>
  </si>
  <si>
    <t xml:space="preserve">P (1-5)</t>
  </si>
  <si>
    <t xml:space="preserve">IR (I×P)</t>
  </si>
  <si>
    <t xml:space="preserve">PLANO DE RESPOSTA</t>
  </si>
  <si>
    <t xml:space="preserve">R01</t>
  </si>
  <si>
    <t xml:space="preserve">Baixa acurácia do modelo de detecção em produção</t>
  </si>
  <si>
    <t xml:space="preserve">Técnico</t>
  </si>
  <si>
    <t xml:space="preserve">Qualidade</t>
  </si>
  <si>
    <t xml:space="preserve">Validar com datasets diversificados; ajustar hiperparâmetros; revisar pipeline de treinamento</t>
  </si>
  <si>
    <t xml:space="preserve">R02</t>
  </si>
  <si>
    <t xml:space="preserve">Mudanças nos LLMs alvo que invalidem o modelo</t>
  </si>
  <si>
    <t xml:space="preserve">Externo</t>
  </si>
  <si>
    <t xml:space="preserve">Tecnológico</t>
  </si>
  <si>
    <t xml:space="preserve">Retraining periódico; monitoramento contínuo de desempenho do modelo</t>
  </si>
  <si>
    <t xml:space="preserve">R03</t>
  </si>
  <si>
    <t xml:space="preserve">Não conformidade com LGPD/GDPR</t>
  </si>
  <si>
    <t xml:space="preserve">Legal</t>
  </si>
  <si>
    <t xml:space="preserve">Regulatório</t>
  </si>
  <si>
    <t xml:space="preserve">Envolver DPO desde o início; realizar DPIA; revisão jurídica das políticas de privacidade</t>
  </si>
  <si>
    <t xml:space="preserve">R04</t>
  </si>
  <si>
    <t xml:space="preserve">Atraso na entrega de infraestrutura de nuvem</t>
  </si>
  <si>
    <t xml:space="preserve">Organizacional</t>
  </si>
  <si>
    <t xml:space="preserve">Infraestrutura</t>
  </si>
  <si>
    <t xml:space="preserve">Plano de contingência com ambiente local (Docker Compose); negociação antecipada com provedor</t>
  </si>
  <si>
    <t xml:space="preserve">R05</t>
  </si>
  <si>
    <t xml:space="preserve">Saída de membro-chave da equipe</t>
  </si>
  <si>
    <t xml:space="preserve">RH</t>
  </si>
  <si>
    <t xml:space="preserve">Pessoas</t>
  </si>
  <si>
    <t xml:space="preserve">Documentação detalhada do código; transferência de conhecimento; backup de funções críticas</t>
  </si>
  <si>
    <t xml:space="preserve">R06</t>
  </si>
  <si>
    <t xml:space="preserve">Escopo não aprovado pelo patrocinador</t>
  </si>
  <si>
    <t xml:space="preserve">Stakeholder</t>
  </si>
  <si>
    <t xml:space="preserve">Gestão</t>
  </si>
  <si>
    <t xml:space="preserve">Reuniões semanais; validações formais por fase (gates)</t>
  </si>
  <si>
    <t xml:space="preserve">R07</t>
  </si>
  <si>
    <t xml:space="preserve">Motor Python offline causando degradação da API</t>
  </si>
  <si>
    <t xml:space="preserve">Disponibilidade</t>
  </si>
  <si>
    <t xml:space="preserve">Circuit breaker e mensagem HTTP 503; monitoramento com actuator/health</t>
  </si>
  <si>
    <t xml:space="preserve">R08</t>
  </si>
  <si>
    <t xml:space="preserve">Vazamento de dados submetidos pelos usuários</t>
  </si>
  <si>
    <t xml:space="preserve">Segurança</t>
  </si>
  <si>
    <t xml:space="preserve">Privacidade</t>
  </si>
  <si>
    <t xml:space="preserve">Não persistir arquivos; dados em memória apenas durante processamento; HTTPS/TLS 1.3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</si>
</sst>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/mm/yyyy"/>
    <numFmt numFmtId="166" formatCode="#,##0.00"/>
  </numFmts>
  <fonts count="2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80"/>
      <name val="Arial"/>
      <family val="0"/>
      <charset val="1"/>
    </font>
    <font>
      <b val="true"/>
      <sz val="14"/>
      <color theme="1"/>
      <name val="Arial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10"/>
      <color rgb="FF856404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0"/>
      <color theme="1"/>
      <name val="Arial"/>
      <family val="0"/>
      <charset val="1"/>
    </font>
    <font>
      <i val="true"/>
      <sz val="9"/>
      <color rgb="FF4444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sz val="10"/>
      <color theme="1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0000"/>
      <name val="Arial"/>
      <family val="0"/>
      <charset val="1"/>
    </font>
    <font>
      <b val="true"/>
      <sz val="10"/>
      <color rgb="FFFFA500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2E5FA3"/>
        <bgColor rgb="FF333399"/>
      </patternFill>
    </fill>
    <fill>
      <patternFill patternType="solid">
        <fgColor rgb="FFFFFFFF"/>
        <bgColor rgb="FFF0F4FF"/>
      </patternFill>
    </fill>
    <fill>
      <patternFill patternType="solid">
        <fgColor rgb="FF6AA84F"/>
        <bgColor rgb="FF969696"/>
      </patternFill>
    </fill>
    <fill>
      <patternFill patternType="solid">
        <fgColor rgb="FF4A86E8"/>
        <bgColor rgb="FF2E5FA3"/>
      </patternFill>
    </fill>
    <fill>
      <patternFill patternType="solid">
        <fgColor rgb="FFEEF4FF"/>
        <bgColor rgb="FFF0F4FF"/>
      </patternFill>
    </fill>
    <fill>
      <patternFill patternType="solid">
        <fgColor rgb="FF00FF00"/>
        <bgColor rgb="FF33CCCC"/>
      </patternFill>
    </fill>
    <fill>
      <patternFill patternType="solid">
        <fgColor theme="9"/>
        <bgColor rgb="FFFFA500"/>
      </patternFill>
    </fill>
    <fill>
      <patternFill patternType="solid">
        <fgColor rgb="FFCC0000"/>
        <bgColor rgb="FFFF0000"/>
      </patternFill>
    </fill>
    <fill>
      <patternFill patternType="solid">
        <fgColor rgb="FFFFF3CD"/>
        <bgColor rgb="FFF0F4FF"/>
      </patternFill>
    </fill>
    <fill>
      <patternFill patternType="solid">
        <fgColor rgb="FFEA7500"/>
        <bgColor rgb="FFF79646"/>
      </patternFill>
    </fill>
    <fill>
      <patternFill patternType="solid">
        <fgColor rgb="FFD4E6FF"/>
        <bgColor rgb="FFEEF4FF"/>
      </patternFill>
    </fill>
    <fill>
      <patternFill patternType="solid">
        <fgColor rgb="FFF0F4FF"/>
        <bgColor rgb="FFEEF4FF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8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9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3" fillId="13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rgb="FFB7E1C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C0000"/>
      <rgbColor rgb="FF008000"/>
      <rgbColor rgb="FF000080"/>
      <rgbColor rgb="FF856404"/>
      <rgbColor rgb="FF800080"/>
      <rgbColor rgb="FF008080"/>
      <rgbColor rgb="FFBBBBBB"/>
      <rgbColor rgb="FF808080"/>
      <rgbColor rgb="FF9999FF"/>
      <rgbColor rgb="FF993366"/>
      <rgbColor rgb="FFFFF3CD"/>
      <rgbColor rgb="FFD4E6FF"/>
      <rgbColor rgb="FF660066"/>
      <rgbColor rgb="FFF79646"/>
      <rgbColor rgb="FF2E5FA3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4FF"/>
      <rgbColor rgb="FFB7E1CD"/>
      <rgbColor rgb="FFF0F4FF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A500"/>
      <rgbColor rgb="FFEA7500"/>
      <rgbColor rgb="FF555555"/>
      <rgbColor rgb="FF969696"/>
      <rgbColor rgb="FF1B3A6B"/>
      <rgbColor rgb="FF6AA84F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L17" activeCellId="0" sqref="L17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.43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7" min="6" style="0" width="14"/>
    <col collapsed="false" customWidth="true" hidden="false" outlineLevel="0" max="8" min="8" style="0" width="10"/>
    <col collapsed="false" customWidth="true" hidden="false" outlineLevel="0" max="9" min="9" style="0" width="16"/>
    <col collapsed="false" customWidth="true" hidden="false" outlineLevel="0" max="10" min="10" style="0" width="10"/>
    <col collapsed="false" customWidth="true" hidden="false" outlineLevel="0" max="11" min="11" style="0" width="8.71"/>
    <col collapsed="false" customWidth="true" hidden="false" outlineLevel="0" max="12" min="12" style="0" width="14.86"/>
    <col collapsed="false" customWidth="true" hidden="false" outlineLevel="0" max="26" min="13" style="0" width="8.71"/>
  </cols>
  <sheetData>
    <row r="1" customFormat="false" ht="30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21.7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30" hidden="false" customHeight="tru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</row>
    <row r="4" customFormat="false" ht="19.5" hidden="false" customHeight="true" outlineLevel="0" collapsed="false">
      <c r="A4" s="4" t="s">
        <v>11</v>
      </c>
      <c r="B4" s="4"/>
      <c r="C4" s="4"/>
      <c r="D4" s="4"/>
      <c r="E4" s="4"/>
      <c r="F4" s="4"/>
      <c r="G4" s="4"/>
      <c r="H4" s="4"/>
      <c r="I4" s="4"/>
      <c r="J4" s="4"/>
    </row>
    <row r="5" customFormat="false" ht="21.75" hidden="false" customHeight="true" outlineLevel="0" collapsed="false">
      <c r="A5" s="5" t="n">
        <v>1</v>
      </c>
      <c r="B5" s="6" t="s">
        <v>12</v>
      </c>
      <c r="C5" s="6" t="s">
        <v>13</v>
      </c>
      <c r="D5" s="7" t="n">
        <v>8</v>
      </c>
      <c r="E5" s="7" t="n">
        <v>8</v>
      </c>
      <c r="F5" s="8" t="n">
        <v>46058</v>
      </c>
      <c r="G5" s="8" t="n">
        <v>46065</v>
      </c>
      <c r="H5" s="5" t="s">
        <v>14</v>
      </c>
      <c r="I5" s="9" t="n">
        <v>0</v>
      </c>
      <c r="J5" s="10" t="s">
        <v>15</v>
      </c>
      <c r="L5" s="11" t="s">
        <v>16</v>
      </c>
      <c r="M5" s="12" t="s">
        <v>17</v>
      </c>
      <c r="N5" s="12"/>
      <c r="O5" s="13"/>
      <c r="P5" s="14"/>
    </row>
    <row r="6" customFormat="false" ht="23.85" hidden="false" customHeight="false" outlineLevel="0" collapsed="false">
      <c r="A6" s="15" t="n">
        <v>2</v>
      </c>
      <c r="B6" s="16" t="s">
        <v>18</v>
      </c>
      <c r="C6" s="16" t="s">
        <v>19</v>
      </c>
      <c r="D6" s="17" t="n">
        <v>8</v>
      </c>
      <c r="E6" s="7" t="n">
        <v>8</v>
      </c>
      <c r="F6" s="18" t="n">
        <v>46063</v>
      </c>
      <c r="G6" s="18" t="n">
        <v>46070</v>
      </c>
      <c r="H6" s="15" t="s">
        <v>20</v>
      </c>
      <c r="I6" s="19" t="n">
        <v>0</v>
      </c>
      <c r="J6" s="10" t="s">
        <v>15</v>
      </c>
      <c r="L6" s="20" t="s">
        <v>21</v>
      </c>
      <c r="M6" s="21"/>
      <c r="N6" s="10" t="s">
        <v>15</v>
      </c>
      <c r="O6" s="22"/>
      <c r="P6" s="14"/>
    </row>
    <row r="7" customFormat="false" ht="19.5" hidden="false" customHeight="true" outlineLevel="0" collapsed="false">
      <c r="A7" s="4" t="s">
        <v>22</v>
      </c>
      <c r="B7" s="4"/>
      <c r="C7" s="4"/>
      <c r="D7" s="4"/>
      <c r="E7" s="4"/>
      <c r="F7" s="4"/>
      <c r="G7" s="4"/>
      <c r="H7" s="4"/>
      <c r="I7" s="4"/>
      <c r="J7" s="4"/>
      <c r="L7" s="20" t="s">
        <v>23</v>
      </c>
      <c r="M7" s="23"/>
      <c r="N7" s="24" t="s">
        <v>24</v>
      </c>
      <c r="O7" s="25"/>
      <c r="P7" s="14"/>
    </row>
    <row r="8" customFormat="false" ht="23.85" hidden="false" customHeight="false" outlineLevel="0" collapsed="false">
      <c r="A8" s="5" t="n">
        <v>3</v>
      </c>
      <c r="B8" s="6" t="s">
        <v>25</v>
      </c>
      <c r="C8" s="6" t="s">
        <v>26</v>
      </c>
      <c r="D8" s="7" t="n">
        <v>16</v>
      </c>
      <c r="E8" s="7" t="n">
        <v>16</v>
      </c>
      <c r="F8" s="8" t="n">
        <v>46072</v>
      </c>
      <c r="G8" s="8" t="n">
        <v>46086</v>
      </c>
      <c r="H8" s="5" t="s">
        <v>20</v>
      </c>
      <c r="I8" s="9" t="n">
        <v>0</v>
      </c>
      <c r="J8" s="10" t="s">
        <v>15</v>
      </c>
      <c r="L8" s="20" t="s">
        <v>27</v>
      </c>
      <c r="M8" s="26"/>
      <c r="N8" s="27" t="s">
        <v>28</v>
      </c>
      <c r="O8" s="28"/>
      <c r="P8" s="14"/>
    </row>
    <row r="9" customFormat="false" ht="21.75" hidden="false" customHeight="true" outlineLevel="0" collapsed="false">
      <c r="A9" s="15" t="n">
        <v>4</v>
      </c>
      <c r="B9" s="16" t="s">
        <v>29</v>
      </c>
      <c r="C9" s="16" t="s">
        <v>30</v>
      </c>
      <c r="D9" s="17" t="n">
        <v>8</v>
      </c>
      <c r="E9" s="17" t="n">
        <v>8</v>
      </c>
      <c r="F9" s="18" t="n">
        <v>46079</v>
      </c>
      <c r="G9" s="18" t="n">
        <v>46086</v>
      </c>
      <c r="H9" s="15" t="s">
        <v>20</v>
      </c>
      <c r="I9" s="19" t="n">
        <v>0</v>
      </c>
      <c r="J9" s="10" t="s">
        <v>15</v>
      </c>
      <c r="L9" s="20" t="s">
        <v>31</v>
      </c>
      <c r="M9" s="29"/>
      <c r="N9" s="27" t="s">
        <v>32</v>
      </c>
      <c r="O9" s="30"/>
      <c r="P9" s="14"/>
    </row>
    <row r="10" customFormat="false" ht="24" hidden="false" customHeight="true" outlineLevel="0" collapsed="false">
      <c r="A10" s="5" t="n">
        <v>5</v>
      </c>
      <c r="B10" s="6" t="s">
        <v>33</v>
      </c>
      <c r="C10" s="6" t="s">
        <v>34</v>
      </c>
      <c r="D10" s="7" t="n">
        <v>4</v>
      </c>
      <c r="E10" s="7" t="n">
        <v>4</v>
      </c>
      <c r="F10" s="8" t="n">
        <v>46079</v>
      </c>
      <c r="G10" s="8" t="n">
        <v>46084</v>
      </c>
      <c r="H10" s="5" t="s">
        <v>20</v>
      </c>
      <c r="I10" s="9" t="n">
        <v>0</v>
      </c>
      <c r="J10" s="10" t="s">
        <v>15</v>
      </c>
    </row>
    <row r="11" customFormat="false" ht="19.5" hidden="false" customHeight="true" outlineLevel="0" collapsed="false">
      <c r="A11" s="4" t="s">
        <v>35</v>
      </c>
      <c r="B11" s="4"/>
      <c r="C11" s="4"/>
      <c r="D11" s="4"/>
      <c r="E11" s="4"/>
      <c r="F11" s="4"/>
      <c r="G11" s="4"/>
      <c r="H11" s="4"/>
      <c r="I11" s="4"/>
      <c r="J11" s="4"/>
    </row>
    <row r="12" customFormat="false" ht="21.75" hidden="false" customHeight="true" outlineLevel="0" collapsed="false">
      <c r="A12" s="15" t="n">
        <v>6</v>
      </c>
      <c r="B12" s="16" t="s">
        <v>36</v>
      </c>
      <c r="C12" s="16" t="s">
        <v>37</v>
      </c>
      <c r="D12" s="17" t="n">
        <v>24</v>
      </c>
      <c r="E12" s="17" t="n">
        <v>24</v>
      </c>
      <c r="F12" s="18" t="n">
        <v>46086</v>
      </c>
      <c r="G12" s="18" t="n">
        <v>46100</v>
      </c>
      <c r="H12" s="15" t="s">
        <v>38</v>
      </c>
      <c r="I12" s="19" t="n">
        <v>0</v>
      </c>
      <c r="J12" s="10" t="s">
        <v>15</v>
      </c>
    </row>
    <row r="13" customFormat="false" ht="24.75" hidden="false" customHeight="true" outlineLevel="0" collapsed="false">
      <c r="A13" s="31" t="n">
        <v>7</v>
      </c>
      <c r="B13" s="32" t="s">
        <v>39</v>
      </c>
      <c r="C13" s="32" t="s">
        <v>40</v>
      </c>
      <c r="D13" s="33" t="n">
        <v>24</v>
      </c>
      <c r="E13" s="33" t="n">
        <v>24</v>
      </c>
      <c r="F13" s="34" t="n">
        <v>46093</v>
      </c>
      <c r="G13" s="34" t="n">
        <v>46107</v>
      </c>
      <c r="H13" s="31" t="s">
        <v>41</v>
      </c>
      <c r="I13" s="35" t="n">
        <v>0</v>
      </c>
      <c r="J13" s="36" t="s">
        <v>42</v>
      </c>
    </row>
    <row r="14" customFormat="false" ht="21.75" hidden="false" customHeight="true" outlineLevel="0" collapsed="false">
      <c r="A14" s="15" t="n">
        <v>8</v>
      </c>
      <c r="B14" s="16" t="s">
        <v>43</v>
      </c>
      <c r="C14" s="16" t="s">
        <v>44</v>
      </c>
      <c r="D14" s="17" t="n">
        <v>16</v>
      </c>
      <c r="E14" s="17" t="n">
        <v>16</v>
      </c>
      <c r="F14" s="18" t="n">
        <v>46100</v>
      </c>
      <c r="G14" s="18" t="n">
        <v>46110</v>
      </c>
      <c r="H14" s="15" t="s">
        <v>41</v>
      </c>
      <c r="I14" s="19" t="n">
        <v>0</v>
      </c>
      <c r="J14" s="10" t="s">
        <v>15</v>
      </c>
    </row>
    <row r="15" customFormat="false" ht="19.5" hidden="false" customHeight="true" outlineLevel="0" collapsed="false">
      <c r="A15" s="4" t="s">
        <v>45</v>
      </c>
      <c r="B15" s="4"/>
      <c r="C15" s="4"/>
      <c r="D15" s="4"/>
      <c r="E15" s="4"/>
      <c r="F15" s="4"/>
      <c r="G15" s="4"/>
      <c r="H15" s="4"/>
      <c r="I15" s="4"/>
      <c r="J15" s="4"/>
    </row>
    <row r="16" customFormat="false" ht="21.75" hidden="false" customHeight="true" outlineLevel="0" collapsed="false">
      <c r="A16" s="5" t="n">
        <v>9</v>
      </c>
      <c r="B16" s="6" t="s">
        <v>46</v>
      </c>
      <c r="C16" s="6" t="s">
        <v>47</v>
      </c>
      <c r="D16" s="7" t="n">
        <v>16</v>
      </c>
      <c r="E16" s="37" t="n">
        <v>7</v>
      </c>
      <c r="F16" s="8" t="n">
        <v>46114</v>
      </c>
      <c r="G16" s="8" t="n">
        <v>46124</v>
      </c>
      <c r="H16" s="5" t="s">
        <v>20</v>
      </c>
      <c r="I16" s="9" t="n">
        <v>0</v>
      </c>
      <c r="J16" s="24" t="s">
        <v>48</v>
      </c>
    </row>
    <row r="17" customFormat="false" ht="27" hidden="false" customHeight="true" outlineLevel="0" collapsed="false">
      <c r="A17" s="15" t="n">
        <v>10</v>
      </c>
      <c r="B17" s="16" t="s">
        <v>49</v>
      </c>
      <c r="C17" s="16" t="s">
        <v>50</v>
      </c>
      <c r="D17" s="17" t="n">
        <v>16</v>
      </c>
      <c r="E17" s="38" t="n">
        <v>5</v>
      </c>
      <c r="F17" s="18" t="n">
        <v>46121</v>
      </c>
      <c r="G17" s="18" t="n">
        <v>46131</v>
      </c>
      <c r="H17" s="15" t="s">
        <v>20</v>
      </c>
      <c r="I17" s="19" t="n">
        <v>0</v>
      </c>
      <c r="J17" s="24" t="s">
        <v>48</v>
      </c>
    </row>
    <row r="18" customFormat="false" ht="21.75" hidden="false" customHeight="true" outlineLevel="0" collapsed="false">
      <c r="A18" s="31" t="n">
        <v>11</v>
      </c>
      <c r="B18" s="32" t="s">
        <v>51</v>
      </c>
      <c r="C18" s="32" t="s">
        <v>52</v>
      </c>
      <c r="D18" s="33" t="n">
        <v>16</v>
      </c>
      <c r="E18" s="39" t="n">
        <v>2</v>
      </c>
      <c r="F18" s="34" t="n">
        <v>46121</v>
      </c>
      <c r="G18" s="34" t="n">
        <v>46135</v>
      </c>
      <c r="H18" s="31" t="s">
        <v>41</v>
      </c>
      <c r="I18" s="35" t="n">
        <v>0</v>
      </c>
      <c r="J18" s="36" t="s">
        <v>53</v>
      </c>
    </row>
    <row r="19" customFormat="false" ht="19.5" hidden="false" customHeight="true" outlineLevel="0" collapsed="false">
      <c r="A19" s="4" t="s">
        <v>54</v>
      </c>
      <c r="B19" s="4"/>
      <c r="C19" s="4"/>
      <c r="D19" s="4"/>
      <c r="E19" s="4"/>
      <c r="F19" s="4"/>
      <c r="G19" s="4"/>
      <c r="H19" s="4"/>
      <c r="I19" s="4"/>
      <c r="J19" s="4"/>
    </row>
    <row r="20" customFormat="false" ht="23.85" hidden="false" customHeight="false" outlineLevel="0" collapsed="false">
      <c r="A20" s="15" t="n">
        <v>12</v>
      </c>
      <c r="B20" s="16" t="s">
        <v>55</v>
      </c>
      <c r="C20" s="16" t="s">
        <v>56</v>
      </c>
      <c r="D20" s="17" t="n">
        <v>40</v>
      </c>
      <c r="E20" s="15" t="n">
        <v>40</v>
      </c>
      <c r="F20" s="18" t="n">
        <v>46142</v>
      </c>
      <c r="G20" s="18" t="n">
        <v>46185</v>
      </c>
      <c r="H20" s="15" t="s">
        <v>57</v>
      </c>
      <c r="I20" s="19" t="n">
        <v>0</v>
      </c>
      <c r="J20" s="24" t="s">
        <v>48</v>
      </c>
    </row>
    <row r="21" customFormat="false" ht="15" hidden="false" customHeight="false" outlineLevel="0" collapsed="false">
      <c r="A21" s="5" t="n">
        <v>13</v>
      </c>
      <c r="B21" s="6" t="s">
        <v>58</v>
      </c>
      <c r="C21" s="6" t="s">
        <v>59</v>
      </c>
      <c r="D21" s="7" t="n">
        <v>40</v>
      </c>
      <c r="E21" s="5"/>
      <c r="F21" s="8" t="n">
        <v>46163</v>
      </c>
      <c r="G21" s="8" t="n">
        <v>46184</v>
      </c>
      <c r="H21" s="5" t="s">
        <v>57</v>
      </c>
      <c r="I21" s="9" t="n">
        <v>0</v>
      </c>
      <c r="J21" s="40" t="s">
        <v>28</v>
      </c>
    </row>
    <row r="22" customFormat="false" ht="23.85" hidden="false" customHeight="false" outlineLevel="0" collapsed="false">
      <c r="A22" s="15" t="n">
        <v>14</v>
      </c>
      <c r="B22" s="16" t="s">
        <v>60</v>
      </c>
      <c r="C22" s="16" t="s">
        <v>61</v>
      </c>
      <c r="D22" s="17" t="n">
        <v>40</v>
      </c>
      <c r="E22" s="15"/>
      <c r="F22" s="18" t="n">
        <v>46184</v>
      </c>
      <c r="G22" s="18" t="n">
        <v>46205</v>
      </c>
      <c r="H22" s="15" t="s">
        <v>57</v>
      </c>
      <c r="I22" s="19" t="n">
        <v>0</v>
      </c>
      <c r="J22" s="15" t="s">
        <v>24</v>
      </c>
    </row>
    <row r="23" customFormat="false" ht="23.85" hidden="false" customHeight="false" outlineLevel="0" collapsed="false">
      <c r="A23" s="5" t="n">
        <v>15</v>
      </c>
      <c r="B23" s="6" t="s">
        <v>62</v>
      </c>
      <c r="C23" s="6" t="s">
        <v>63</v>
      </c>
      <c r="D23" s="7" t="n">
        <v>40</v>
      </c>
      <c r="E23" s="5"/>
      <c r="F23" s="8" t="n">
        <v>46205</v>
      </c>
      <c r="G23" s="8" t="n">
        <v>46226</v>
      </c>
      <c r="H23" s="5" t="s">
        <v>57</v>
      </c>
      <c r="I23" s="9" t="n">
        <v>0</v>
      </c>
      <c r="J23" s="5" t="s">
        <v>24</v>
      </c>
    </row>
    <row r="24" customFormat="false" ht="23.85" hidden="false" customHeight="false" outlineLevel="0" collapsed="false">
      <c r="A24" s="15" t="n">
        <v>16</v>
      </c>
      <c r="B24" s="16" t="s">
        <v>64</v>
      </c>
      <c r="C24" s="16" t="s">
        <v>65</v>
      </c>
      <c r="D24" s="17" t="n">
        <v>40</v>
      </c>
      <c r="E24" s="15" t="n">
        <v>28</v>
      </c>
      <c r="F24" s="18" t="n">
        <v>46163</v>
      </c>
      <c r="G24" s="18" t="n">
        <v>46205</v>
      </c>
      <c r="H24" s="15" t="s">
        <v>20</v>
      </c>
      <c r="I24" s="19" t="n">
        <v>0</v>
      </c>
      <c r="J24" s="15" t="s">
        <v>24</v>
      </c>
    </row>
    <row r="25" customFormat="false" ht="23.85" hidden="false" customHeight="false" outlineLevel="0" collapsed="false">
      <c r="A25" s="31" t="n">
        <v>17</v>
      </c>
      <c r="B25" s="32" t="s">
        <v>66</v>
      </c>
      <c r="C25" s="32" t="s">
        <v>67</v>
      </c>
      <c r="D25" s="33" t="n">
        <v>40</v>
      </c>
      <c r="E25" s="31"/>
      <c r="F25" s="34" t="n">
        <v>46205</v>
      </c>
      <c r="G25" s="34" t="n">
        <v>46233</v>
      </c>
      <c r="H25" s="31" t="s">
        <v>41</v>
      </c>
      <c r="I25" s="35" t="n">
        <v>0</v>
      </c>
      <c r="J25" s="36" t="s">
        <v>68</v>
      </c>
    </row>
    <row r="26" customFormat="false" ht="19.5" hidden="false" customHeight="true" outlineLevel="0" collapsed="false">
      <c r="A26" s="4" t="s">
        <v>69</v>
      </c>
      <c r="B26" s="4"/>
      <c r="C26" s="4"/>
      <c r="D26" s="4"/>
      <c r="E26" s="4"/>
      <c r="F26" s="4"/>
      <c r="G26" s="4"/>
      <c r="H26" s="4"/>
      <c r="I26" s="4"/>
      <c r="J26" s="4"/>
    </row>
    <row r="27" customFormat="false" ht="23.85" hidden="false" customHeight="false" outlineLevel="0" collapsed="false">
      <c r="A27" s="15" t="n">
        <v>18</v>
      </c>
      <c r="B27" s="16" t="s">
        <v>70</v>
      </c>
      <c r="C27" s="16" t="s">
        <v>71</v>
      </c>
      <c r="D27" s="17" t="n">
        <v>24</v>
      </c>
      <c r="E27" s="15"/>
      <c r="F27" s="18" t="n">
        <v>46254</v>
      </c>
      <c r="G27" s="18" t="n">
        <v>46268</v>
      </c>
      <c r="H27" s="15" t="s">
        <v>72</v>
      </c>
      <c r="I27" s="19" t="n">
        <v>0</v>
      </c>
      <c r="J27" s="15" t="s">
        <v>24</v>
      </c>
    </row>
    <row r="28" customFormat="false" ht="23.85" hidden="false" customHeight="false" outlineLevel="0" collapsed="false">
      <c r="A28" s="5" t="n">
        <v>19</v>
      </c>
      <c r="B28" s="6" t="s">
        <v>73</v>
      </c>
      <c r="C28" s="6" t="s">
        <v>74</v>
      </c>
      <c r="D28" s="7" t="n">
        <v>20</v>
      </c>
      <c r="E28" s="5"/>
      <c r="F28" s="8" t="n">
        <v>46261</v>
      </c>
      <c r="G28" s="8" t="n">
        <v>46271</v>
      </c>
      <c r="H28" s="5" t="s">
        <v>38</v>
      </c>
      <c r="I28" s="9" t="n">
        <v>0</v>
      </c>
      <c r="J28" s="5" t="s">
        <v>24</v>
      </c>
    </row>
    <row r="29" customFormat="false" ht="23.85" hidden="false" customHeight="false" outlineLevel="0" collapsed="false">
      <c r="A29" s="15" t="n">
        <v>20</v>
      </c>
      <c r="B29" s="16" t="s">
        <v>75</v>
      </c>
      <c r="C29" s="16" t="s">
        <v>76</v>
      </c>
      <c r="D29" s="17" t="n">
        <v>20</v>
      </c>
      <c r="E29" s="15"/>
      <c r="F29" s="18" t="n">
        <v>46268</v>
      </c>
      <c r="G29" s="18" t="n">
        <v>46278</v>
      </c>
      <c r="H29" s="15" t="s">
        <v>41</v>
      </c>
      <c r="I29" s="19" t="n">
        <v>0</v>
      </c>
      <c r="J29" s="15" t="s">
        <v>24</v>
      </c>
    </row>
    <row r="30" customFormat="false" ht="23.85" hidden="false" customHeight="false" outlineLevel="0" collapsed="false">
      <c r="A30" s="5" t="n">
        <v>21</v>
      </c>
      <c r="B30" s="6" t="s">
        <v>77</v>
      </c>
      <c r="C30" s="6" t="s">
        <v>78</v>
      </c>
      <c r="D30" s="7" t="n">
        <v>16</v>
      </c>
      <c r="E30" s="5"/>
      <c r="F30" s="8" t="n">
        <v>46268</v>
      </c>
      <c r="G30" s="8" t="n">
        <v>46278</v>
      </c>
      <c r="H30" s="5" t="s">
        <v>57</v>
      </c>
      <c r="I30" s="9" t="n">
        <v>0</v>
      </c>
      <c r="J30" s="5" t="s">
        <v>24</v>
      </c>
    </row>
    <row r="31" customFormat="false" ht="15" hidden="false" customHeight="false" outlineLevel="0" collapsed="false">
      <c r="A31" s="15" t="n">
        <v>22</v>
      </c>
      <c r="B31" s="16" t="s">
        <v>79</v>
      </c>
      <c r="C31" s="16" t="s">
        <v>80</v>
      </c>
      <c r="D31" s="17" t="n">
        <v>12</v>
      </c>
      <c r="E31" s="15"/>
      <c r="F31" s="18" t="n">
        <v>46275</v>
      </c>
      <c r="G31" s="18" t="n">
        <v>46282</v>
      </c>
      <c r="H31" s="15" t="s">
        <v>38</v>
      </c>
      <c r="I31" s="19" t="n">
        <v>0</v>
      </c>
      <c r="J31" s="15" t="s">
        <v>24</v>
      </c>
    </row>
    <row r="32" customFormat="false" ht="23.85" hidden="false" customHeight="false" outlineLevel="0" collapsed="false">
      <c r="A32" s="31" t="n">
        <v>23</v>
      </c>
      <c r="B32" s="32" t="s">
        <v>81</v>
      </c>
      <c r="C32" s="32" t="s">
        <v>82</v>
      </c>
      <c r="D32" s="33" t="n">
        <v>12</v>
      </c>
      <c r="E32" s="31"/>
      <c r="F32" s="34" t="n">
        <v>46275</v>
      </c>
      <c r="G32" s="34" t="n">
        <v>46282</v>
      </c>
      <c r="H32" s="31" t="s">
        <v>41</v>
      </c>
      <c r="I32" s="35" t="n">
        <v>0</v>
      </c>
      <c r="J32" s="36" t="s">
        <v>83</v>
      </c>
    </row>
    <row r="33" customFormat="false" ht="19.5" hidden="false" customHeight="true" outlineLevel="0" collapsed="false">
      <c r="A33" s="4" t="s">
        <v>84</v>
      </c>
      <c r="B33" s="4"/>
      <c r="C33" s="4"/>
      <c r="D33" s="4"/>
      <c r="E33" s="4"/>
      <c r="F33" s="4"/>
      <c r="G33" s="4"/>
      <c r="H33" s="4"/>
      <c r="I33" s="4"/>
      <c r="J33" s="4"/>
    </row>
    <row r="34" customFormat="false" ht="15" hidden="false" customHeight="false" outlineLevel="0" collapsed="false">
      <c r="A34" s="15" t="n">
        <v>24</v>
      </c>
      <c r="B34" s="16" t="s">
        <v>85</v>
      </c>
      <c r="C34" s="16" t="s">
        <v>86</v>
      </c>
      <c r="D34" s="17" t="n">
        <v>16</v>
      </c>
      <c r="E34" s="15"/>
      <c r="F34" s="18" t="n">
        <v>46289</v>
      </c>
      <c r="G34" s="18" t="n">
        <v>46299</v>
      </c>
      <c r="H34" s="15" t="s">
        <v>20</v>
      </c>
      <c r="I34" s="19" t="n">
        <v>0</v>
      </c>
      <c r="J34" s="15" t="s">
        <v>24</v>
      </c>
    </row>
    <row r="35" customFormat="false" ht="17.25" hidden="false" customHeight="true" outlineLevel="0" collapsed="false">
      <c r="A35" s="31" t="n">
        <v>25</v>
      </c>
      <c r="B35" s="32" t="s">
        <v>87</v>
      </c>
      <c r="C35" s="32" t="s">
        <v>88</v>
      </c>
      <c r="D35" s="33" t="n">
        <v>16</v>
      </c>
      <c r="E35" s="31"/>
      <c r="F35" s="34" t="n">
        <v>46296</v>
      </c>
      <c r="G35" s="34" t="n">
        <v>46303</v>
      </c>
      <c r="H35" s="31" t="s">
        <v>20</v>
      </c>
      <c r="I35" s="35" t="n">
        <v>0</v>
      </c>
      <c r="J35" s="36" t="s">
        <v>89</v>
      </c>
    </row>
    <row r="36" customFormat="false" ht="15" hidden="false" customHeight="false" outlineLevel="0" collapsed="false">
      <c r="A36" s="15" t="n">
        <v>26</v>
      </c>
      <c r="B36" s="16" t="s">
        <v>90</v>
      </c>
      <c r="C36" s="16" t="s">
        <v>91</v>
      </c>
      <c r="D36" s="17" t="n">
        <v>8</v>
      </c>
      <c r="E36" s="15"/>
      <c r="F36" s="18" t="n">
        <v>46303</v>
      </c>
      <c r="G36" s="18" t="n">
        <v>46308</v>
      </c>
      <c r="H36" s="15" t="s">
        <v>38</v>
      </c>
      <c r="I36" s="19" t="n">
        <v>0</v>
      </c>
      <c r="J36" s="15" t="s">
        <v>24</v>
      </c>
    </row>
    <row r="37" customFormat="false" ht="19.5" hidden="false" customHeight="true" outlineLevel="0" collapsed="false">
      <c r="A37" s="4" t="s">
        <v>92</v>
      </c>
      <c r="B37" s="4"/>
      <c r="C37" s="4"/>
      <c r="D37" s="4"/>
      <c r="E37" s="4"/>
      <c r="F37" s="4"/>
      <c r="G37" s="4"/>
      <c r="H37" s="4"/>
      <c r="I37" s="4"/>
      <c r="J37" s="4"/>
    </row>
    <row r="38" customFormat="false" ht="21.75" hidden="false" customHeight="true" outlineLevel="0" collapsed="false">
      <c r="A38" s="5" t="n">
        <v>27</v>
      </c>
      <c r="B38" s="6" t="s">
        <v>93</v>
      </c>
      <c r="C38" s="6" t="s">
        <v>94</v>
      </c>
      <c r="D38" s="7" t="n">
        <v>16</v>
      </c>
      <c r="E38" s="5"/>
      <c r="F38" s="8" t="n">
        <v>46310</v>
      </c>
      <c r="G38" s="8" t="n">
        <v>46324</v>
      </c>
      <c r="H38" s="5" t="s">
        <v>41</v>
      </c>
      <c r="I38" s="9" t="n">
        <v>0</v>
      </c>
      <c r="J38" s="5" t="s">
        <v>24</v>
      </c>
    </row>
    <row r="39" customFormat="false" ht="23.85" hidden="false" customHeight="false" outlineLevel="0" collapsed="false">
      <c r="A39" s="15" t="n">
        <v>28</v>
      </c>
      <c r="B39" s="16" t="s">
        <v>95</v>
      </c>
      <c r="C39" s="16" t="s">
        <v>96</v>
      </c>
      <c r="D39" s="17" t="n">
        <v>16</v>
      </c>
      <c r="E39" s="15"/>
      <c r="F39" s="18" t="n">
        <v>46317</v>
      </c>
      <c r="G39" s="18" t="n">
        <v>46327</v>
      </c>
      <c r="H39" s="15" t="s">
        <v>14</v>
      </c>
      <c r="I39" s="19" t="n">
        <v>0</v>
      </c>
      <c r="J39" s="15" t="s">
        <v>24</v>
      </c>
    </row>
    <row r="40" customFormat="false" ht="23.85" hidden="false" customHeight="false" outlineLevel="0" collapsed="false">
      <c r="A40" s="31" t="n">
        <v>29</v>
      </c>
      <c r="B40" s="32" t="s">
        <v>97</v>
      </c>
      <c r="C40" s="32" t="s">
        <v>98</v>
      </c>
      <c r="D40" s="33" t="n">
        <v>8</v>
      </c>
      <c r="E40" s="31"/>
      <c r="F40" s="34" t="n">
        <v>46327</v>
      </c>
      <c r="G40" s="34" t="n">
        <v>46332</v>
      </c>
      <c r="H40" s="31" t="s">
        <v>14</v>
      </c>
      <c r="I40" s="35" t="n">
        <v>0</v>
      </c>
      <c r="J40" s="36" t="s">
        <v>99</v>
      </c>
    </row>
    <row r="41" customFormat="false" ht="15.75" hidden="false" customHeight="true" outlineLevel="0" collapsed="false">
      <c r="A41" s="41" t="s">
        <v>100</v>
      </c>
      <c r="B41" s="41"/>
      <c r="C41" s="41"/>
      <c r="D41" s="42" t="n">
        <f aca="false">SUM(D4:D40)</f>
        <v>580</v>
      </c>
      <c r="E41" s="43"/>
      <c r="F41" s="43"/>
      <c r="G41" s="43"/>
      <c r="H41" s="43"/>
      <c r="I41" s="44" t="n">
        <f aca="false">SUM(I4:I40)</f>
        <v>0</v>
      </c>
      <c r="J41" s="43"/>
    </row>
    <row r="42" customFormat="false" ht="15.75" hidden="false" customHeight="true" outlineLevel="0" collapsed="false"/>
    <row r="43" customFormat="false" ht="15.75" hidden="false" customHeight="true" outlineLevel="0" collapsed="false">
      <c r="A43" s="45" t="s">
        <v>101</v>
      </c>
      <c r="B43" s="45"/>
      <c r="C43" s="45"/>
      <c r="D43" s="45"/>
      <c r="E43" s="45"/>
      <c r="F43" s="45"/>
      <c r="G43" s="45"/>
      <c r="H43" s="45"/>
      <c r="I43" s="45"/>
      <c r="J43" s="45"/>
    </row>
    <row r="44" customFormat="false" ht="15.75" hidden="false" customHeight="true" outlineLevel="0" collapsed="false">
      <c r="A44" s="45" t="s">
        <v>102</v>
      </c>
      <c r="B44" s="45"/>
      <c r="C44" s="45"/>
      <c r="D44" s="45"/>
      <c r="E44" s="45"/>
      <c r="F44" s="45"/>
      <c r="G44" s="45"/>
      <c r="H44" s="45"/>
      <c r="I44" s="45"/>
      <c r="J44" s="45"/>
    </row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3">
    <mergeCell ref="A1:J1"/>
    <mergeCell ref="A2:J2"/>
    <mergeCell ref="A4:J4"/>
    <mergeCell ref="A7:J7"/>
    <mergeCell ref="A11:J11"/>
    <mergeCell ref="A15:J15"/>
    <mergeCell ref="A19:J19"/>
    <mergeCell ref="A26:J26"/>
    <mergeCell ref="A33:J33"/>
    <mergeCell ref="A37:J37"/>
    <mergeCell ref="A41:C41"/>
    <mergeCell ref="A43:J43"/>
    <mergeCell ref="A44:J44"/>
  </mergeCells>
  <conditionalFormatting sqref="N9 M8">
    <cfRule type="expression" priority="2" aboveAverage="0" equalAverage="0" bottom="0" percent="0" rank="0" text="" dxfId="0">
      <formula>LEN(TRIM(M8))&gt;0</formula>
    </cfRule>
  </conditionalFormatting>
  <conditionalFormatting sqref="N8:O8 J21">
    <cfRule type="expression" priority="3" aboveAverage="0" equalAverage="0" bottom="0" percent="0" rank="0" text="" dxfId="0">
      <formula>LEN(TRIM(J8))&gt;0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4" min="1" style="0" width="22"/>
    <col collapsed="false" customWidth="true" hidden="false" outlineLevel="0" max="5" min="5" style="0" width="30"/>
    <col collapsed="false" customWidth="true" hidden="false" outlineLevel="0" max="26" min="6" style="0" width="8.71"/>
  </cols>
  <sheetData>
    <row r="1" customFormat="false" ht="30" hidden="false" customHeight="true" outlineLevel="0" collapsed="false">
      <c r="A1" s="46" t="s">
        <v>103</v>
      </c>
      <c r="B1" s="46"/>
      <c r="C1" s="46"/>
      <c r="D1" s="46"/>
      <c r="E1" s="46"/>
    </row>
    <row r="2" customFormat="false" ht="19.5" hidden="false" customHeight="true" outlineLevel="0" collapsed="false">
      <c r="A2" s="47" t="s">
        <v>104</v>
      </c>
      <c r="B2" s="47"/>
      <c r="C2" s="47"/>
      <c r="D2" s="47"/>
      <c r="E2" s="47"/>
    </row>
    <row r="3" customFormat="false" ht="27.75" hidden="false" customHeight="true" outlineLevel="0" collapsed="false">
      <c r="A3" s="3" t="s">
        <v>105</v>
      </c>
      <c r="B3" s="3" t="s">
        <v>106</v>
      </c>
      <c r="C3" s="3" t="s">
        <v>107</v>
      </c>
      <c r="D3" s="3" t="s">
        <v>108</v>
      </c>
      <c r="E3" s="3" t="s">
        <v>2</v>
      </c>
    </row>
    <row r="4" customFormat="false" ht="21.75" hidden="false" customHeight="true" outlineLevel="0" collapsed="false">
      <c r="A4" s="48" t="n">
        <v>4</v>
      </c>
      <c r="B4" s="48" t="n">
        <v>12</v>
      </c>
      <c r="C4" s="48" t="n">
        <v>8</v>
      </c>
      <c r="D4" s="49" t="n">
        <f aca="false">ROUND((A4+4*C4+B4)/6,1)</f>
        <v>8</v>
      </c>
      <c r="E4" s="50" t="s">
        <v>109</v>
      </c>
    </row>
    <row r="5" customFormat="false" ht="21.75" hidden="false" customHeight="true" outlineLevel="0" collapsed="false">
      <c r="A5" s="51" t="n">
        <v>4</v>
      </c>
      <c r="B5" s="51" t="n">
        <v>12</v>
      </c>
      <c r="C5" s="51" t="n">
        <v>8</v>
      </c>
      <c r="D5" s="49" t="n">
        <f aca="false">ROUND((A5+4*C5+B5)/6,1)</f>
        <v>8</v>
      </c>
      <c r="E5" s="52" t="s">
        <v>110</v>
      </c>
    </row>
    <row r="6" customFormat="false" ht="21.75" hidden="false" customHeight="true" outlineLevel="0" collapsed="false">
      <c r="A6" s="48" t="n">
        <v>4</v>
      </c>
      <c r="B6" s="48" t="n">
        <v>14</v>
      </c>
      <c r="C6" s="48" t="n">
        <v>8</v>
      </c>
      <c r="D6" s="49" t="n">
        <f aca="false">ROUND((A6+4*C6+B6)/6,1)</f>
        <v>8.3</v>
      </c>
      <c r="E6" s="50" t="s">
        <v>111</v>
      </c>
    </row>
    <row r="7" customFormat="false" ht="21.75" hidden="false" customHeight="true" outlineLevel="0" collapsed="false">
      <c r="A7" s="51" t="n">
        <v>4</v>
      </c>
      <c r="B7" s="51" t="n">
        <v>14</v>
      </c>
      <c r="C7" s="51" t="n">
        <v>8</v>
      </c>
      <c r="D7" s="49" t="n">
        <f aca="false">ROUND((A7+4*C7+B7)/6,1)</f>
        <v>8.3</v>
      </c>
      <c r="E7" s="52" t="s">
        <v>112</v>
      </c>
    </row>
    <row r="8" customFormat="false" ht="21.75" hidden="false" customHeight="true" outlineLevel="0" collapsed="false">
      <c r="A8" s="48" t="n">
        <v>4</v>
      </c>
      <c r="B8" s="48" t="n">
        <v>10</v>
      </c>
      <c r="C8" s="48" t="n">
        <v>6</v>
      </c>
      <c r="D8" s="49" t="n">
        <f aca="false">ROUND((A8+4*C8+B8)/6,1)</f>
        <v>6.3</v>
      </c>
      <c r="E8" s="50" t="s">
        <v>113</v>
      </c>
    </row>
    <row r="9" customFormat="false" ht="21.75" hidden="false" customHeight="true" outlineLevel="0" collapsed="false">
      <c r="A9" s="51" t="n">
        <v>2</v>
      </c>
      <c r="B9" s="51" t="n">
        <v>8</v>
      </c>
      <c r="C9" s="51" t="n">
        <v>5</v>
      </c>
      <c r="D9" s="49" t="n">
        <f aca="false">ROUND((A9+4*C9+B9)/6,1)</f>
        <v>5</v>
      </c>
      <c r="E9" s="52" t="s">
        <v>114</v>
      </c>
    </row>
    <row r="10" customFormat="false" ht="21.75" hidden="false" customHeight="true" outlineLevel="0" collapsed="false">
      <c r="A10" s="48" t="n">
        <v>1</v>
      </c>
      <c r="B10" s="48" t="n">
        <v>4</v>
      </c>
      <c r="C10" s="48" t="n">
        <v>2</v>
      </c>
      <c r="D10" s="49" t="n">
        <f aca="false">ROUND((A10+4*C10+B10)/6,1)</f>
        <v>2.2</v>
      </c>
      <c r="E10" s="50" t="s">
        <v>115</v>
      </c>
    </row>
    <row r="11" customFormat="false" ht="21.75" hidden="false" customHeight="true" outlineLevel="0" collapsed="false">
      <c r="A11" s="51" t="n">
        <v>1</v>
      </c>
      <c r="B11" s="51" t="n">
        <v>3</v>
      </c>
      <c r="C11" s="51" t="n">
        <v>2</v>
      </c>
      <c r="D11" s="49" t="n">
        <f aca="false">ROUND((A11+4*C11+B11)/6,1)</f>
        <v>2</v>
      </c>
      <c r="E11" s="52" t="s">
        <v>116</v>
      </c>
    </row>
    <row r="12" customFormat="false" ht="15" hidden="false" customHeight="true" outlineLevel="0" collapsed="false">
      <c r="A12" s="41" t="s">
        <v>117</v>
      </c>
      <c r="B12" s="41"/>
      <c r="C12" s="41"/>
      <c r="D12" s="42" t="n">
        <f aca="false">SUM(D4:D11)</f>
        <v>48.1</v>
      </c>
      <c r="E12" s="53" t="s">
        <v>118</v>
      </c>
    </row>
    <row r="14" customFormat="false" ht="15" hidden="false" customHeight="true" outlineLevel="0" collapsed="false">
      <c r="A14" s="54" t="s">
        <v>119</v>
      </c>
      <c r="B14" s="54"/>
      <c r="C14" s="54"/>
      <c r="D14" s="54"/>
      <c r="E14" s="54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4">
    <mergeCell ref="A1:E1"/>
    <mergeCell ref="A2:E2"/>
    <mergeCell ref="A12:C12"/>
    <mergeCell ref="A14:E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7" min="5" style="0" width="8"/>
    <col collapsed="false" customWidth="true" hidden="false" outlineLevel="0" max="8" min="8" style="0" width="40"/>
    <col collapsed="false" customWidth="true" hidden="false" outlineLevel="0" max="26" min="9" style="0" width="8.71"/>
  </cols>
  <sheetData>
    <row r="1" customFormat="false" ht="30" hidden="false" customHeight="true" outlineLevel="0" collapsed="false">
      <c r="A1" s="46" t="s">
        <v>120</v>
      </c>
      <c r="B1" s="46"/>
      <c r="C1" s="46"/>
      <c r="D1" s="46"/>
      <c r="E1" s="46"/>
      <c r="F1" s="46"/>
      <c r="G1" s="46"/>
      <c r="H1" s="46"/>
    </row>
    <row r="2" customFormat="false" ht="24.75" hidden="false" customHeight="true" outlineLevel="0" collapsed="false">
      <c r="A2" s="55" t="s">
        <v>121</v>
      </c>
      <c r="B2" s="55" t="s">
        <v>122</v>
      </c>
      <c r="C2" s="55" t="s">
        <v>123</v>
      </c>
      <c r="D2" s="55" t="s">
        <v>124</v>
      </c>
      <c r="E2" s="55" t="s">
        <v>125</v>
      </c>
      <c r="F2" s="55" t="s">
        <v>126</v>
      </c>
      <c r="G2" s="55" t="s">
        <v>127</v>
      </c>
      <c r="H2" s="55" t="s">
        <v>128</v>
      </c>
    </row>
    <row r="3" customFormat="false" ht="34.5" hidden="false" customHeight="true" outlineLevel="0" collapsed="false">
      <c r="A3" s="56" t="s">
        <v>129</v>
      </c>
      <c r="B3" s="52" t="s">
        <v>130</v>
      </c>
      <c r="C3" s="56" t="s">
        <v>131</v>
      </c>
      <c r="D3" s="56" t="s">
        <v>132</v>
      </c>
      <c r="E3" s="56" t="n">
        <v>4</v>
      </c>
      <c r="F3" s="56" t="n">
        <v>3</v>
      </c>
      <c r="G3" s="57" t="n">
        <v>12</v>
      </c>
      <c r="H3" s="52" t="s">
        <v>133</v>
      </c>
    </row>
    <row r="4" customFormat="false" ht="34.5" hidden="false" customHeight="true" outlineLevel="0" collapsed="false">
      <c r="A4" s="58" t="s">
        <v>134</v>
      </c>
      <c r="B4" s="50" t="s">
        <v>135</v>
      </c>
      <c r="C4" s="58" t="s">
        <v>136</v>
      </c>
      <c r="D4" s="58" t="s">
        <v>137</v>
      </c>
      <c r="E4" s="58" t="n">
        <v>4</v>
      </c>
      <c r="F4" s="58" t="n">
        <v>4</v>
      </c>
      <c r="G4" s="59" t="n">
        <v>16</v>
      </c>
      <c r="H4" s="50" t="s">
        <v>138</v>
      </c>
    </row>
    <row r="5" customFormat="false" ht="34.5" hidden="false" customHeight="true" outlineLevel="0" collapsed="false">
      <c r="A5" s="56" t="s">
        <v>139</v>
      </c>
      <c r="B5" s="52" t="s">
        <v>140</v>
      </c>
      <c r="C5" s="56" t="s">
        <v>141</v>
      </c>
      <c r="D5" s="56" t="s">
        <v>142</v>
      </c>
      <c r="E5" s="56" t="n">
        <v>5</v>
      </c>
      <c r="F5" s="56" t="n">
        <v>2</v>
      </c>
      <c r="G5" s="60" t="n">
        <v>10</v>
      </c>
      <c r="H5" s="52" t="s">
        <v>143</v>
      </c>
    </row>
    <row r="6" customFormat="false" ht="34.5" hidden="false" customHeight="true" outlineLevel="0" collapsed="false">
      <c r="A6" s="58" t="s">
        <v>144</v>
      </c>
      <c r="B6" s="50" t="s">
        <v>145</v>
      </c>
      <c r="C6" s="58" t="s">
        <v>146</v>
      </c>
      <c r="D6" s="58" t="s">
        <v>147</v>
      </c>
      <c r="E6" s="58" t="n">
        <v>3</v>
      </c>
      <c r="F6" s="58" t="n">
        <v>3</v>
      </c>
      <c r="G6" s="61" t="n">
        <v>9</v>
      </c>
      <c r="H6" s="50" t="s">
        <v>148</v>
      </c>
    </row>
    <row r="7" customFormat="false" ht="34.5" hidden="false" customHeight="true" outlineLevel="0" collapsed="false">
      <c r="A7" s="56" t="s">
        <v>149</v>
      </c>
      <c r="B7" s="52" t="s">
        <v>150</v>
      </c>
      <c r="C7" s="56" t="s">
        <v>151</v>
      </c>
      <c r="D7" s="56" t="s">
        <v>152</v>
      </c>
      <c r="E7" s="56" t="n">
        <v>4</v>
      </c>
      <c r="F7" s="56" t="n">
        <v>2</v>
      </c>
      <c r="G7" s="60" t="n">
        <v>8</v>
      </c>
      <c r="H7" s="52" t="s">
        <v>153</v>
      </c>
    </row>
    <row r="8" customFormat="false" ht="34.5" hidden="false" customHeight="true" outlineLevel="0" collapsed="false">
      <c r="A8" s="58" t="s">
        <v>154</v>
      </c>
      <c r="B8" s="50" t="s">
        <v>155</v>
      </c>
      <c r="C8" s="58" t="s">
        <v>156</v>
      </c>
      <c r="D8" s="58" t="s">
        <v>157</v>
      </c>
      <c r="E8" s="58" t="n">
        <v>3</v>
      </c>
      <c r="F8" s="58" t="n">
        <v>2</v>
      </c>
      <c r="G8" s="61" t="n">
        <v>6</v>
      </c>
      <c r="H8" s="50" t="s">
        <v>158</v>
      </c>
    </row>
    <row r="9" customFormat="false" ht="34.5" hidden="false" customHeight="true" outlineLevel="0" collapsed="false">
      <c r="A9" s="56" t="s">
        <v>159</v>
      </c>
      <c r="B9" s="52" t="s">
        <v>160</v>
      </c>
      <c r="C9" s="56" t="s">
        <v>131</v>
      </c>
      <c r="D9" s="56" t="s">
        <v>161</v>
      </c>
      <c r="E9" s="56" t="n">
        <v>4</v>
      </c>
      <c r="F9" s="56" t="n">
        <v>3</v>
      </c>
      <c r="G9" s="57" t="n">
        <v>12</v>
      </c>
      <c r="H9" s="52" t="s">
        <v>162</v>
      </c>
    </row>
    <row r="10" customFormat="false" ht="34.5" hidden="false" customHeight="true" outlineLevel="0" collapsed="false">
      <c r="A10" s="58" t="s">
        <v>163</v>
      </c>
      <c r="B10" s="50" t="s">
        <v>164</v>
      </c>
      <c r="C10" s="58" t="s">
        <v>165</v>
      </c>
      <c r="D10" s="58" t="s">
        <v>166</v>
      </c>
      <c r="E10" s="58" t="n">
        <v>5</v>
      </c>
      <c r="F10" s="58" t="n">
        <v>2</v>
      </c>
      <c r="G10" s="61" t="n">
        <v>10</v>
      </c>
      <c r="H10" s="50" t="s">
        <v>167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2026-06-12T21:03:12Z</dcterms:created>
  <dc:creator>openpyxl</dc:creator>
  <dc:description/>
  <dc:language>pt-BR</dc:language>
  <cp:lastModifiedBy/>
  <dcterms:modified xsi:type="dcterms:W3CDTF">2026-06-12T19:18:18Z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